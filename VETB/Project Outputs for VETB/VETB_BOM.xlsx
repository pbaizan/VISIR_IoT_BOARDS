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VETB\Project Outputs for VETB\"/>
    </mc:Choice>
  </mc:AlternateContent>
  <xr:revisionPtr revIDLastSave="0" documentId="13_ncr:1_{23628805-2187-4374-A5F6-ADBC1131528C}" xr6:coauthVersionLast="47" xr6:coauthVersionMax="47" xr10:uidLastSave="{00000000-0000-0000-0000-000000000000}"/>
  <bookViews>
    <workbookView xWindow="1740" yWindow="1950" windowWidth="27060" windowHeight="137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</calcChain>
</file>

<file path=xl/sharedStrings.xml><?xml version="1.0" encoding="utf-8"?>
<sst xmlns="http://schemas.openxmlformats.org/spreadsheetml/2006/main" count="157" uniqueCount="139">
  <si>
    <t>Bill of Materials</t>
  </si>
  <si>
    <t>Project Title:</t>
  </si>
  <si>
    <t>Approved</t>
  </si>
  <si>
    <t>Notes</t>
  </si>
  <si>
    <t>Part Number</t>
  </si>
  <si>
    <t>Description</t>
  </si>
  <si>
    <t>Designator</t>
  </si>
  <si>
    <t>Quantity</t>
  </si>
  <si>
    <t>Manufacturer</t>
  </si>
  <si>
    <t>Manufacturer P/N</t>
  </si>
  <si>
    <t>www.ionosens.com</t>
  </si>
  <si>
    <t>Board Name:</t>
  </si>
  <si>
    <t xml:space="preserve">Board P/N: </t>
  </si>
  <si>
    <t>&lt;Parameter PROJECT not found&gt;</t>
  </si>
  <si>
    <t/>
  </si>
  <si>
    <t>DesignItemId</t>
  </si>
  <si>
    <t>C01-0402-01-00001-1</t>
  </si>
  <si>
    <t>C01-0402-01-00007-1</t>
  </si>
  <si>
    <t>C01-0402-01-00006-4</t>
  </si>
  <si>
    <t>C01-0402-01-00008-1</t>
  </si>
  <si>
    <t>C01-0402-01-00002-1</t>
  </si>
  <si>
    <t>D01-0402-01-00001-1</t>
  </si>
  <si>
    <t>D01-0402-01-00000-1</t>
  </si>
  <si>
    <t>J01-001-01-00001-2</t>
  </si>
  <si>
    <t>J01-001-01-00003-2</t>
  </si>
  <si>
    <t>J01-001-01-00005-2</t>
  </si>
  <si>
    <t>K01-0008-01-00008-1</t>
  </si>
  <si>
    <t>K01-0008-01-00002-6</t>
  </si>
  <si>
    <t>CMP-00028-00007-2</t>
  </si>
  <si>
    <t>R01-0402-01-00029-2</t>
  </si>
  <si>
    <t>R01-0402-01-00169-2</t>
  </si>
  <si>
    <t>R01-0603-01-00204-3</t>
  </si>
  <si>
    <t>R01-0402-01-00437-2</t>
  </si>
  <si>
    <t>R01-0402-01-00067-3</t>
  </si>
  <si>
    <t>R01-1206-01-00248-1</t>
  </si>
  <si>
    <t>R01-1206-01-00129-1</t>
  </si>
  <si>
    <t>CMP-0005-0001-00001-1</t>
  </si>
  <si>
    <t>CMP-019-00050-1</t>
  </si>
  <si>
    <t>U01-0007-01-00000-1</t>
  </si>
  <si>
    <t>CMP-0015-00001-3</t>
  </si>
  <si>
    <t>CMP-015-00009-2</t>
  </si>
  <si>
    <t>CMP-015-00008-2</t>
  </si>
  <si>
    <t>Y01-0001-01-00000-11</t>
  </si>
  <si>
    <t>Cap Ceramic 100nF 50V X7R 5% SMD 0402 125°C</t>
  </si>
  <si>
    <t>Cap Ceramic 2.2uF 25V X7R +-10% SMD 0805 125°C</t>
  </si>
  <si>
    <t>Cap Ceramic 10uF 10V XR5 20% SMD 0402 125°C</t>
  </si>
  <si>
    <t>Cap Ceramic 20pF 50V C0G 5% SMD 0402 125°C</t>
  </si>
  <si>
    <t>Multilayer Ceramic Capacitors (High dielectric type), 16V, 100 uF, ± 20 %, 1210, X5R, RoHS</t>
  </si>
  <si>
    <t>Led red 0402</t>
  </si>
  <si>
    <t>Led green 0402</t>
  </si>
  <si>
    <t>Conn Socket and Terminal Strip HDR/SKT 100 POS 0.5mm Solder ST SMD T/R</t>
  </si>
  <si>
    <t>6 Vias Pin Header 2.54mm, Right Angle</t>
  </si>
  <si>
    <t>6 Vias Pin Header 2.54mm, Right Angle, 1 Row</t>
  </si>
  <si>
    <t>Reed Relay, Mini SIP, 5 VDC; 1 Form A, 15W, 200 VDC, 1.25A</t>
  </si>
  <si>
    <t>Reed Relay 5VDC 350Ohm 0.5A SPST-NO THT</t>
  </si>
  <si>
    <t>hole 5mm pad drill 2.2</t>
  </si>
  <si>
    <t>RES SMD 1K OHM 1% 1/16W 0402</t>
  </si>
  <si>
    <t>RES SMD 10K OHM 1% 1/16W 0402</t>
  </si>
  <si>
    <t>RES SMD 150 OHM 1% 1/10W 0603</t>
  </si>
  <si>
    <t>RES SMD 240 OHM 1% 1/16W 0402</t>
  </si>
  <si>
    <t>RES SMD 2K OHM 1% 1/16W 0402</t>
  </si>
  <si>
    <t>RES SMD 300 OHM 1% 1/4W 1206</t>
  </si>
  <si>
    <t>RES SMD 24.9 OHM 1% 1/4W 1206</t>
  </si>
  <si>
    <t>50-V, 7-ch darlington transistor array, -40 to 105C 16-TSSOP -40 to 105</t>
  </si>
  <si>
    <t>V-Ref Precision 3.3V 20mA 8-Pin SOIC</t>
  </si>
  <si>
    <t>AVR ATmega Microcontroller 8-bit 16MHz 256KB FLASH TQFP100</t>
  </si>
  <si>
    <t>1-Channel Single ADC Pipelined 20Msps 10-bit Parallel 28-Pin SSOP</t>
  </si>
  <si>
    <t>Voltage Level Translator 1-CH Bidirectional 6-Pin SOT-23</t>
  </si>
  <si>
    <t>2 BIT Bidirectional 1-MHz I2C BUS and SMBus Voltage Level Translator 8-Pin SSOP</t>
  </si>
  <si>
    <t>16MHz ±10ppm 16pF 80Ω SMD-2520_4P</t>
  </si>
  <si>
    <t>C1, C2, C3, C4, C5, C6, C7, C8, C9, C11, C12, C13, C15, C16, C17, C18, C19, C20, C21, C22, C23, C24, C27, C28, C29, C30, C31, C32</t>
  </si>
  <si>
    <t>C10</t>
  </si>
  <si>
    <t>C14</t>
  </si>
  <si>
    <t>C25, C26</t>
  </si>
  <si>
    <t>C33, C34, C35</t>
  </si>
  <si>
    <t>D1, D2, D3</t>
  </si>
  <si>
    <t>D4, D5, D6, D7, D8, D9, D10, D11, D12, D13, D14, D15, D16, D17, D18, D19, D20, D21, D22, D23, D24, D25, D26, D27, D28, D29, D30, D31, D32, D33, D34</t>
  </si>
  <si>
    <t>J1, J2, J3, J4</t>
  </si>
  <si>
    <t>J5</t>
  </si>
  <si>
    <t>J6</t>
  </si>
  <si>
    <t>K8, K9, K10, K11, K17, K18, K19, K20, K23, K24, K25, K36</t>
  </si>
  <si>
    <t>K12, K13, K14, K15, K16, K21, K22, K26, K27, K28, K29, K30, K31, K32, K33, K34, K35, K37, K38</t>
  </si>
  <si>
    <t>MH1, MH2, MH3, MH4</t>
  </si>
  <si>
    <t>R1</t>
  </si>
  <si>
    <t>R2, R5, R6</t>
  </si>
  <si>
    <t>R3, R4</t>
  </si>
  <si>
    <t>R7, R8, R9, R10, R11, R12, R13, R14, R15, R16, R17, R18, R19, R20, R21, R22, R23, R24, R25, R26, R27, R28, R29, R30, R31, R32, R33, R34, R35, R36, R37, R38, R39, R49</t>
  </si>
  <si>
    <t>R40, R52</t>
  </si>
  <si>
    <t>R41, R42, R43, R44, R45, R46, R47, R48</t>
  </si>
  <si>
    <t>R50, R51</t>
  </si>
  <si>
    <t>U1, U2, U4, U5, U8</t>
  </si>
  <si>
    <t>U3</t>
  </si>
  <si>
    <t>U6</t>
  </si>
  <si>
    <t>U7</t>
  </si>
  <si>
    <t>U9, U10, U11, U12, U13, U14</t>
  </si>
  <si>
    <t>U15</t>
  </si>
  <si>
    <t>Y1</t>
  </si>
  <si>
    <t>#Column Name Error:' Manufacturer 1</t>
  </si>
  <si>
    <t>#Column Name Error:' Manufacturer Part Number 1</t>
  </si>
  <si>
    <t>YAGEO</t>
  </si>
  <si>
    <t>Taiyo Yuden</t>
  </si>
  <si>
    <t>ROHM</t>
  </si>
  <si>
    <t>Samtec</t>
  </si>
  <si>
    <t>Comus</t>
  </si>
  <si>
    <t>COTO</t>
  </si>
  <si>
    <t>Ionosens</t>
  </si>
  <si>
    <t>Yageo</t>
  </si>
  <si>
    <t>Texas Instruments</t>
  </si>
  <si>
    <t>Microchip</t>
  </si>
  <si>
    <t>Analog Devices</t>
  </si>
  <si>
    <t>Texas Instrument</t>
  </si>
  <si>
    <t>SEIKO-EPSON</t>
  </si>
  <si>
    <t>CC0402JRX7R7BB104</t>
  </si>
  <si>
    <t>AC0805KKX7R8BB225</t>
  </si>
  <si>
    <t>CC0402MRX5R6BB106</t>
  </si>
  <si>
    <t>CC0402JRNPO9BN200</t>
  </si>
  <si>
    <t>EMK325ABJ107MM-P</t>
  </si>
  <si>
    <t>SML-P12UTT86R</t>
  </si>
  <si>
    <t>SML-P13PTT86R</t>
  </si>
  <si>
    <t>LSHM-150-06.0-L-DV-A-N-K-TR</t>
  </si>
  <si>
    <t>TSW-103-08-F-D-RA</t>
  </si>
  <si>
    <t>HTSW-106-08-F-S-RA</t>
  </si>
  <si>
    <t>3570.1419.051</t>
  </si>
  <si>
    <t>9002-05-00</t>
  </si>
  <si>
    <t>H5D22</t>
  </si>
  <si>
    <t>AC0402FR-071KL</t>
  </si>
  <si>
    <t>AC0402FR-0710KL</t>
  </si>
  <si>
    <t>AC0603FR-07150RL</t>
  </si>
  <si>
    <t>AC0402FR-07240RL</t>
  </si>
  <si>
    <t>AC0402FR-072KL</t>
  </si>
  <si>
    <t>AC1206FR-07300RL</t>
  </si>
  <si>
    <t>AC1206FR-0724R9L</t>
  </si>
  <si>
    <t>ULN2003AIPWR</t>
  </si>
  <si>
    <t>MCP1501-33E/SN</t>
  </si>
  <si>
    <t>ATMEGA2560-16AU</t>
  </si>
  <si>
    <t>AD9200ARSZRL</t>
  </si>
  <si>
    <t>TXB0101DBVR</t>
  </si>
  <si>
    <t>TCA9406DCTR</t>
  </si>
  <si>
    <t>Q24FA20H0024700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</si>
</sst>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4" fillId="2" borderId="2" xfId="0" applyFont="1" applyFill="1" applyBorder="1"/>
    <xf numFmtId="0" fontId="0" fillId="0" borderId="2" xfId="0" applyBorder="1" applyAlignment="1">
      <alignment wrapText="1"/>
    </xf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0" xfId="1" applyFont="1" applyFill="1" applyBorder="1" applyAlignment="1">
      <alignment vertical="center"/>
    </xf>
    <xf numFmtId="0" fontId="4" fillId="0" borderId="0" xfId="0" applyFont="1" applyBorder="1"/>
    <xf numFmtId="0" fontId="3" fillId="0" borderId="0" xfId="0" applyFont="1" applyFill="1" applyBorder="1"/>
    <xf numFmtId="0" fontId="5" fillId="0" borderId="0" xfId="2" applyBorder="1"/>
    <xf numFmtId="0" fontId="0" fillId="0" borderId="2" xfId="0" applyBorder="1"/>
    <xf numFmtId="0" fontId="4" fillId="0" borderId="2" xfId="0" applyFont="1" applyBorder="1"/>
    <xf numFmtId="0" fontId="0" fillId="0" borderId="4" xfId="0" applyBorder="1"/>
    <xf numFmtId="0" fontId="4" fillId="0" borderId="1" xfId="0" applyFont="1" applyBorder="1"/>
    <xf numFmtId="0" fontId="4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3" xfId="0" applyBorder="1"/>
    <xf numFmtId="0" fontId="3" fillId="0" borderId="0" xfId="0" quotePrefix="1" applyFont="1" applyFill="1" applyBorder="1"/>
    <xf numFmtId="0" fontId="3" fillId="0" borderId="0" xfId="0" quotePrefix="1" applyFont="1" applyBorder="1"/>
    <xf numFmtId="0" fontId="0" fillId="0" borderId="2" xfId="0" quotePrefix="1" applyBorder="1" applyAlignment="1">
      <alignment vertical="center" wrapText="1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1079499</xdr:colOff>
      <xdr:row>1</xdr:row>
      <xdr:rowOff>127001</xdr:rowOff>
    </xdr:from>
    <xdr:to>
      <xdr:col>6</xdr:col>
      <xdr:colOff>1173691</xdr:colOff>
      <xdr:row>3</xdr:row>
      <xdr:rowOff>46802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8AB94C-6902-44AC-A7DA-2D35BE342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7332" y="328084"/>
          <a:ext cx="1660525" cy="491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onose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5"/>
  <sheetViews>
    <sheetView showGridLines="0" tabSelected="1" topLeftCell="A29" zoomScale="90" zoomScaleNormal="90" workbookViewId="0">
      <selection activeCell="I36" sqref="I36"/>
    </sheetView>
  </sheetViews>
  <sheetFormatPr baseColWidth="10" defaultColWidth="9.140625" defaultRowHeight="15" x14ac:dyDescent="0.25"/>
  <cols>
    <col min="1" max="1" width="10.5703125" customWidth="1"/>
    <col min="2" max="2" width="20.140625" customWidth="1"/>
    <col min="3" max="3" width="25" customWidth="1"/>
    <col min="4" max="4" width="22.28515625" customWidth="1"/>
    <col min="5" max="5" width="17.5703125" customWidth="1"/>
    <col min="6" max="6" width="23.42578125" customWidth="1"/>
    <col min="7" max="7" width="18.28515625" customWidth="1"/>
    <col min="8" max="8" width="21" customWidth="1"/>
    <col min="9" max="9" width="16.85546875" customWidth="1"/>
    <col min="10" max="10" width="8.7109375" customWidth="1"/>
    <col min="11" max="11" width="4.28515625" customWidth="1"/>
  </cols>
  <sheetData>
    <row r="1" spans="1:11" x14ac:dyDescent="0.25">
      <c r="B1" s="5"/>
      <c r="C1" s="4"/>
      <c r="D1" s="4"/>
      <c r="E1" s="4"/>
      <c r="F1" s="4"/>
      <c r="G1" s="4"/>
      <c r="H1" s="3"/>
      <c r="I1" s="3"/>
      <c r="J1" s="3"/>
      <c r="K1" s="3"/>
    </row>
    <row r="2" spans="1:11" ht="30" x14ac:dyDescent="0.25">
      <c r="A2" s="5"/>
      <c r="B2" s="12" t="s">
        <v>0</v>
      </c>
      <c r="C2" s="5"/>
      <c r="D2" s="4"/>
      <c r="E2" s="4"/>
      <c r="F2" s="4"/>
      <c r="G2" s="4"/>
      <c r="H2" s="4"/>
      <c r="I2" s="4"/>
      <c r="J2" s="4"/>
      <c r="K2" s="4"/>
    </row>
    <row r="3" spans="1:11" x14ac:dyDescent="0.25">
      <c r="A3" s="5"/>
      <c r="B3" s="5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5"/>
      <c r="B4" s="8" t="s">
        <v>1</v>
      </c>
      <c r="C4" s="14" t="s">
        <v>13</v>
      </c>
      <c r="D4" s="4"/>
      <c r="E4" s="5"/>
      <c r="F4" s="4"/>
      <c r="G4" s="15" t="s">
        <v>10</v>
      </c>
      <c r="H4" s="4"/>
      <c r="J4" s="4"/>
      <c r="K4" s="4"/>
    </row>
    <row r="5" spans="1:11" x14ac:dyDescent="0.25">
      <c r="A5" s="5"/>
      <c r="B5" s="8" t="s">
        <v>11</v>
      </c>
      <c r="C5" s="29" t="s">
        <v>14</v>
      </c>
      <c r="D5" s="4"/>
      <c r="E5" s="5"/>
      <c r="F5" s="4"/>
      <c r="G5" s="4"/>
      <c r="H5" s="4"/>
      <c r="J5" s="5"/>
      <c r="K5" s="4"/>
    </row>
    <row r="6" spans="1:11" x14ac:dyDescent="0.25">
      <c r="A6" s="5"/>
      <c r="B6" s="9" t="s">
        <v>12</v>
      </c>
      <c r="C6" s="30" t="s">
        <v>14</v>
      </c>
      <c r="D6" s="5"/>
      <c r="E6" s="5"/>
      <c r="F6" s="5"/>
      <c r="G6" s="4"/>
      <c r="H6" s="4"/>
      <c r="J6" s="4"/>
      <c r="K6" s="4"/>
    </row>
    <row r="7" spans="1:11" x14ac:dyDescent="0.25">
      <c r="A7" s="5"/>
      <c r="B7" s="5"/>
      <c r="C7" s="5"/>
      <c r="D7" s="5"/>
      <c r="E7" s="5"/>
      <c r="F7" s="5"/>
      <c r="G7" s="4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10" t="s">
        <v>4</v>
      </c>
      <c r="C9" s="10" t="s">
        <v>5</v>
      </c>
      <c r="D9" s="10" t="s">
        <v>6</v>
      </c>
      <c r="E9" s="11" t="s">
        <v>8</v>
      </c>
      <c r="F9" s="11" t="s">
        <v>9</v>
      </c>
      <c r="G9" s="11" t="s">
        <v>7</v>
      </c>
      <c r="H9" s="5"/>
      <c r="J9" s="5"/>
    </row>
    <row r="10" spans="1:11" hidden="1" x14ac:dyDescent="0.25">
      <c r="B10" s="2" t="s">
        <v>15</v>
      </c>
      <c r="C10" s="2" t="s">
        <v>5</v>
      </c>
      <c r="D10" s="2" t="s">
        <v>6</v>
      </c>
      <c r="E10" s="6" t="s">
        <v>97</v>
      </c>
      <c r="F10" s="6" t="s">
        <v>98</v>
      </c>
      <c r="G10" s="6" t="s">
        <v>7</v>
      </c>
      <c r="H10" s="5"/>
    </row>
    <row r="11" spans="1:11" ht="90" x14ac:dyDescent="0.25">
      <c r="A11" s="5"/>
      <c r="B11" s="16" t="s">
        <v>16</v>
      </c>
      <c r="C11" s="7" t="s">
        <v>43</v>
      </c>
      <c r="D11" s="7" t="s">
        <v>70</v>
      </c>
      <c r="E11" s="31" t="s">
        <v>99</v>
      </c>
      <c r="F11" s="31" t="s">
        <v>112</v>
      </c>
      <c r="G11" s="17">
        <v>28</v>
      </c>
      <c r="H11" s="5"/>
    </row>
    <row r="12" spans="1:11" ht="30" x14ac:dyDescent="0.25">
      <c r="A12" s="5"/>
      <c r="B12" s="16" t="s">
        <v>17</v>
      </c>
      <c r="C12" s="7" t="s">
        <v>44</v>
      </c>
      <c r="D12" s="7" t="s">
        <v>71</v>
      </c>
      <c r="E12" s="31" t="s">
        <v>99</v>
      </c>
      <c r="F12" s="31" t="s">
        <v>113</v>
      </c>
      <c r="G12" s="17">
        <v>1</v>
      </c>
      <c r="H12" s="5"/>
    </row>
    <row r="13" spans="1:11" ht="30" x14ac:dyDescent="0.25">
      <c r="A13" s="5"/>
      <c r="B13" s="16" t="s">
        <v>18</v>
      </c>
      <c r="C13" s="7" t="s">
        <v>45</v>
      </c>
      <c r="D13" s="7" t="s">
        <v>72</v>
      </c>
      <c r="E13" s="31" t="s">
        <v>99</v>
      </c>
      <c r="F13" s="31" t="s">
        <v>114</v>
      </c>
      <c r="G13" s="17">
        <v>1</v>
      </c>
      <c r="H13" s="5"/>
    </row>
    <row r="14" spans="1:11" ht="30" x14ac:dyDescent="0.25">
      <c r="A14" s="5"/>
      <c r="B14" s="16" t="s">
        <v>19</v>
      </c>
      <c r="C14" s="7" t="s">
        <v>46</v>
      </c>
      <c r="D14" s="7" t="s">
        <v>73</v>
      </c>
      <c r="E14" s="31" t="s">
        <v>99</v>
      </c>
      <c r="F14" s="31" t="s">
        <v>115</v>
      </c>
      <c r="G14" s="17">
        <v>2</v>
      </c>
      <c r="H14" s="5"/>
    </row>
    <row r="15" spans="1:11" ht="60" x14ac:dyDescent="0.25">
      <c r="A15" s="5"/>
      <c r="B15" s="16" t="s">
        <v>20</v>
      </c>
      <c r="C15" s="7" t="s">
        <v>47</v>
      </c>
      <c r="D15" s="7" t="s">
        <v>74</v>
      </c>
      <c r="E15" s="31" t="s">
        <v>100</v>
      </c>
      <c r="F15" s="31" t="s">
        <v>116</v>
      </c>
      <c r="G15" s="17">
        <v>3</v>
      </c>
      <c r="H15" s="5"/>
    </row>
    <row r="16" spans="1:11" x14ac:dyDescent="0.25">
      <c r="A16" s="5"/>
      <c r="B16" s="16" t="s">
        <v>21</v>
      </c>
      <c r="C16" s="7" t="s">
        <v>48</v>
      </c>
      <c r="D16" s="7" t="s">
        <v>75</v>
      </c>
      <c r="E16" s="31" t="s">
        <v>101</v>
      </c>
      <c r="F16" s="31" t="s">
        <v>117</v>
      </c>
      <c r="G16" s="17">
        <v>3</v>
      </c>
      <c r="H16" s="5"/>
    </row>
    <row r="17" spans="1:8" ht="90" x14ac:dyDescent="0.25">
      <c r="A17" s="5"/>
      <c r="B17" s="16" t="s">
        <v>22</v>
      </c>
      <c r="C17" s="7" t="s">
        <v>49</v>
      </c>
      <c r="D17" s="7" t="s">
        <v>76</v>
      </c>
      <c r="E17" s="31" t="s">
        <v>101</v>
      </c>
      <c r="F17" s="31" t="s">
        <v>118</v>
      </c>
      <c r="G17" s="17">
        <v>31</v>
      </c>
      <c r="H17" s="5"/>
    </row>
    <row r="18" spans="1:8" ht="45" x14ac:dyDescent="0.25">
      <c r="A18" s="5"/>
      <c r="B18" s="16" t="s">
        <v>23</v>
      </c>
      <c r="C18" s="7" t="s">
        <v>50</v>
      </c>
      <c r="D18" s="7" t="s">
        <v>77</v>
      </c>
      <c r="E18" s="31" t="s">
        <v>102</v>
      </c>
      <c r="F18" s="31" t="s">
        <v>119</v>
      </c>
      <c r="G18" s="17">
        <v>4</v>
      </c>
      <c r="H18" s="5"/>
    </row>
    <row r="19" spans="1:8" ht="30" x14ac:dyDescent="0.25">
      <c r="A19" s="5"/>
      <c r="B19" s="16" t="s">
        <v>24</v>
      </c>
      <c r="C19" s="7" t="s">
        <v>51</v>
      </c>
      <c r="D19" s="7" t="s">
        <v>78</v>
      </c>
      <c r="E19" s="31" t="s">
        <v>102</v>
      </c>
      <c r="F19" s="31" t="s">
        <v>120</v>
      </c>
      <c r="G19" s="17">
        <v>1</v>
      </c>
      <c r="H19" s="5"/>
    </row>
    <row r="20" spans="1:8" ht="30" x14ac:dyDescent="0.25">
      <c r="A20" s="5"/>
      <c r="B20" s="16" t="s">
        <v>25</v>
      </c>
      <c r="C20" s="7" t="s">
        <v>52</v>
      </c>
      <c r="D20" s="7" t="s">
        <v>79</v>
      </c>
      <c r="E20" s="31" t="s">
        <v>102</v>
      </c>
      <c r="F20" s="31" t="s">
        <v>121</v>
      </c>
      <c r="G20" s="17">
        <v>1</v>
      </c>
      <c r="H20" s="5"/>
    </row>
    <row r="21" spans="1:8" ht="45" x14ac:dyDescent="0.25">
      <c r="A21" s="5"/>
      <c r="B21" s="16" t="s">
        <v>26</v>
      </c>
      <c r="C21" s="7" t="s">
        <v>53</v>
      </c>
      <c r="D21" s="7" t="s">
        <v>80</v>
      </c>
      <c r="E21" s="31" t="s">
        <v>103</v>
      </c>
      <c r="F21" s="31" t="s">
        <v>122</v>
      </c>
      <c r="G21" s="17">
        <v>12</v>
      </c>
      <c r="H21" s="5"/>
    </row>
    <row r="22" spans="1:8" ht="60" x14ac:dyDescent="0.25">
      <c r="A22" s="5"/>
      <c r="B22" s="16" t="s">
        <v>27</v>
      </c>
      <c r="C22" s="7" t="s">
        <v>54</v>
      </c>
      <c r="D22" s="7" t="s">
        <v>81</v>
      </c>
      <c r="E22" s="31" t="s">
        <v>104</v>
      </c>
      <c r="F22" s="31" t="s">
        <v>123</v>
      </c>
      <c r="G22" s="17">
        <v>19</v>
      </c>
      <c r="H22" s="5"/>
    </row>
    <row r="23" spans="1:8" x14ac:dyDescent="0.25">
      <c r="A23" s="5"/>
      <c r="B23" s="16" t="s">
        <v>28</v>
      </c>
      <c r="C23" s="7" t="s">
        <v>55</v>
      </c>
      <c r="D23" s="7" t="s">
        <v>82</v>
      </c>
      <c r="E23" s="31" t="s">
        <v>105</v>
      </c>
      <c r="F23" s="31" t="s">
        <v>124</v>
      </c>
      <c r="G23" s="17">
        <v>4</v>
      </c>
      <c r="H23" s="5"/>
    </row>
    <row r="24" spans="1:8" ht="30" x14ac:dyDescent="0.25">
      <c r="A24" s="5"/>
      <c r="B24" s="16" t="s">
        <v>29</v>
      </c>
      <c r="C24" s="7" t="s">
        <v>56</v>
      </c>
      <c r="D24" s="7" t="s">
        <v>83</v>
      </c>
      <c r="E24" s="31" t="s">
        <v>106</v>
      </c>
      <c r="F24" s="31" t="s">
        <v>125</v>
      </c>
      <c r="G24" s="17">
        <v>1</v>
      </c>
      <c r="H24" s="5"/>
    </row>
    <row r="25" spans="1:8" ht="30" x14ac:dyDescent="0.25">
      <c r="A25" s="5"/>
      <c r="B25" s="16" t="s">
        <v>30</v>
      </c>
      <c r="C25" s="7" t="s">
        <v>57</v>
      </c>
      <c r="D25" s="7" t="s">
        <v>84</v>
      </c>
      <c r="E25" s="31" t="s">
        <v>106</v>
      </c>
      <c r="F25" s="31" t="s">
        <v>126</v>
      </c>
      <c r="G25" s="17">
        <v>3</v>
      </c>
      <c r="H25" s="5"/>
    </row>
    <row r="26" spans="1:8" ht="30" x14ac:dyDescent="0.25">
      <c r="A26" s="5"/>
      <c r="B26" s="16" t="s">
        <v>31</v>
      </c>
      <c r="C26" s="7" t="s">
        <v>58</v>
      </c>
      <c r="D26" s="7" t="s">
        <v>85</v>
      </c>
      <c r="E26" s="31" t="s">
        <v>106</v>
      </c>
      <c r="F26" s="31" t="s">
        <v>127</v>
      </c>
      <c r="G26" s="17">
        <v>2</v>
      </c>
      <c r="H26" s="5"/>
    </row>
    <row r="27" spans="1:8" ht="105" x14ac:dyDescent="0.25">
      <c r="A27" s="5"/>
      <c r="B27" s="16" t="s">
        <v>32</v>
      </c>
      <c r="C27" s="7" t="s">
        <v>59</v>
      </c>
      <c r="D27" s="7" t="s">
        <v>86</v>
      </c>
      <c r="E27" s="31" t="s">
        <v>106</v>
      </c>
      <c r="F27" s="31" t="s">
        <v>128</v>
      </c>
      <c r="G27" s="17">
        <v>34</v>
      </c>
      <c r="H27" s="5"/>
    </row>
    <row r="28" spans="1:8" ht="30" x14ac:dyDescent="0.25">
      <c r="A28" s="5"/>
      <c r="B28" s="16" t="s">
        <v>33</v>
      </c>
      <c r="C28" s="7" t="s">
        <v>60</v>
      </c>
      <c r="D28" s="7" t="s">
        <v>87</v>
      </c>
      <c r="E28" s="31" t="s">
        <v>106</v>
      </c>
      <c r="F28" s="31" t="s">
        <v>129</v>
      </c>
      <c r="G28" s="17">
        <v>2</v>
      </c>
      <c r="H28" s="5"/>
    </row>
    <row r="29" spans="1:8" ht="30" x14ac:dyDescent="0.25">
      <c r="A29" s="5"/>
      <c r="B29" s="16" t="s">
        <v>34</v>
      </c>
      <c r="C29" s="7" t="s">
        <v>61</v>
      </c>
      <c r="D29" s="7" t="s">
        <v>88</v>
      </c>
      <c r="E29" s="31" t="s">
        <v>106</v>
      </c>
      <c r="F29" s="31" t="s">
        <v>130</v>
      </c>
      <c r="G29" s="17">
        <v>8</v>
      </c>
      <c r="H29" s="5"/>
    </row>
    <row r="30" spans="1:8" ht="30" x14ac:dyDescent="0.25">
      <c r="A30" s="5"/>
      <c r="B30" s="16" t="s">
        <v>35</v>
      </c>
      <c r="C30" s="7" t="s">
        <v>62</v>
      </c>
      <c r="D30" s="7" t="s">
        <v>89</v>
      </c>
      <c r="E30" s="31" t="s">
        <v>106</v>
      </c>
      <c r="F30" s="31" t="s">
        <v>131</v>
      </c>
      <c r="G30" s="17">
        <v>2</v>
      </c>
      <c r="H30" s="5"/>
    </row>
    <row r="31" spans="1:8" ht="45" x14ac:dyDescent="0.25">
      <c r="A31" s="5"/>
      <c r="B31" s="16" t="s">
        <v>36</v>
      </c>
      <c r="C31" s="7" t="s">
        <v>63</v>
      </c>
      <c r="D31" s="7" t="s">
        <v>90</v>
      </c>
      <c r="E31" s="31" t="s">
        <v>107</v>
      </c>
      <c r="F31" s="31" t="s">
        <v>132</v>
      </c>
      <c r="G31" s="17">
        <v>5</v>
      </c>
      <c r="H31" s="5"/>
    </row>
    <row r="32" spans="1:8" ht="30" x14ac:dyDescent="0.25">
      <c r="A32" s="5"/>
      <c r="B32" s="16" t="s">
        <v>37</v>
      </c>
      <c r="C32" s="7" t="s">
        <v>64</v>
      </c>
      <c r="D32" s="7" t="s">
        <v>91</v>
      </c>
      <c r="E32" s="31" t="s">
        <v>108</v>
      </c>
      <c r="F32" s="31" t="s">
        <v>133</v>
      </c>
      <c r="G32" s="17">
        <v>1</v>
      </c>
      <c r="H32" s="5"/>
    </row>
    <row r="33" spans="1:11" ht="60" x14ac:dyDescent="0.25">
      <c r="A33" s="5"/>
      <c r="B33" s="16" t="s">
        <v>38</v>
      </c>
      <c r="C33" s="7" t="s">
        <v>65</v>
      </c>
      <c r="D33" s="7" t="s">
        <v>92</v>
      </c>
      <c r="E33" s="31" t="s">
        <v>108</v>
      </c>
      <c r="F33" s="31" t="s">
        <v>134</v>
      </c>
      <c r="G33" s="17">
        <v>1</v>
      </c>
      <c r="H33" s="5"/>
    </row>
    <row r="34" spans="1:11" ht="45" x14ac:dyDescent="0.25">
      <c r="A34" s="5"/>
      <c r="B34" s="16" t="s">
        <v>39</v>
      </c>
      <c r="C34" s="7" t="s">
        <v>66</v>
      </c>
      <c r="D34" s="7" t="s">
        <v>93</v>
      </c>
      <c r="E34" s="31" t="s">
        <v>109</v>
      </c>
      <c r="F34" s="31" t="s">
        <v>135</v>
      </c>
      <c r="G34" s="17">
        <v>1</v>
      </c>
      <c r="H34" s="5"/>
    </row>
    <row r="35" spans="1:11" ht="45" x14ac:dyDescent="0.25">
      <c r="A35" s="5"/>
      <c r="B35" s="16" t="s">
        <v>40</v>
      </c>
      <c r="C35" s="7" t="s">
        <v>67</v>
      </c>
      <c r="D35" s="7" t="s">
        <v>94</v>
      </c>
      <c r="E35" s="31" t="s">
        <v>110</v>
      </c>
      <c r="F35" s="31" t="s">
        <v>136</v>
      </c>
      <c r="G35" s="17">
        <v>6</v>
      </c>
      <c r="H35" s="5"/>
    </row>
    <row r="36" spans="1:11" ht="60" x14ac:dyDescent="0.25">
      <c r="A36" s="5"/>
      <c r="B36" s="16" t="s">
        <v>41</v>
      </c>
      <c r="C36" s="7" t="s">
        <v>68</v>
      </c>
      <c r="D36" s="7" t="s">
        <v>95</v>
      </c>
      <c r="E36" s="31" t="s">
        <v>110</v>
      </c>
      <c r="F36" s="31" t="s">
        <v>137</v>
      </c>
      <c r="G36" s="17">
        <v>1</v>
      </c>
      <c r="H36" s="5"/>
    </row>
    <row r="37" spans="1:11" ht="30" x14ac:dyDescent="0.25">
      <c r="A37" s="5"/>
      <c r="B37" s="16" t="s">
        <v>42</v>
      </c>
      <c r="C37" s="7" t="s">
        <v>69</v>
      </c>
      <c r="D37" s="7" t="s">
        <v>96</v>
      </c>
      <c r="E37" s="31" t="s">
        <v>111</v>
      </c>
      <c r="F37" s="31" t="s">
        <v>138</v>
      </c>
      <c r="G37" s="17">
        <v>1</v>
      </c>
      <c r="H37" s="5"/>
    </row>
    <row r="38" spans="1:11" x14ac:dyDescent="0.25">
      <c r="A38" s="5"/>
      <c r="B38" s="16"/>
      <c r="C38" s="18"/>
      <c r="D38" s="1"/>
      <c r="E38" s="19"/>
      <c r="F38" s="19"/>
      <c r="G38" s="20">
        <f>SUM(G11:G37)</f>
        <v>178</v>
      </c>
      <c r="H38" s="13"/>
      <c r="I38" s="13"/>
      <c r="J38" s="5"/>
    </row>
    <row r="39" spans="1:11" x14ac:dyDescent="0.25">
      <c r="B39" s="5"/>
      <c r="C39" s="5"/>
      <c r="D39" s="5"/>
      <c r="E39" s="5"/>
      <c r="F39" s="5"/>
      <c r="G39" s="5"/>
      <c r="J39" s="5"/>
      <c r="K39" s="5"/>
    </row>
    <row r="40" spans="1:11" x14ac:dyDescent="0.25">
      <c r="A40" s="5"/>
      <c r="B40" s="22" t="s">
        <v>2</v>
      </c>
      <c r="C40" s="24"/>
      <c r="D40" s="21" t="s">
        <v>3</v>
      </c>
      <c r="E40" s="21"/>
      <c r="F40" s="21"/>
      <c r="G40" s="24"/>
      <c r="H40" s="5"/>
      <c r="I40" s="5"/>
      <c r="J40" s="5"/>
    </row>
    <row r="41" spans="1:11" x14ac:dyDescent="0.25">
      <c r="A41" s="5"/>
      <c r="B41" s="23"/>
      <c r="C41" s="25"/>
      <c r="D41" s="5"/>
      <c r="E41" s="5"/>
      <c r="F41" s="5"/>
      <c r="G41" s="25"/>
      <c r="H41" s="5"/>
      <c r="I41" s="5"/>
      <c r="J41" s="5"/>
    </row>
    <row r="42" spans="1:11" x14ac:dyDescent="0.25">
      <c r="A42" s="5"/>
      <c r="B42" s="23"/>
      <c r="C42" s="25"/>
      <c r="D42" s="5"/>
      <c r="E42" s="5"/>
      <c r="F42" s="5"/>
      <c r="G42" s="25"/>
      <c r="H42" s="5"/>
      <c r="I42" s="5"/>
      <c r="J42" s="5"/>
    </row>
    <row r="43" spans="1:11" x14ac:dyDescent="0.25">
      <c r="A43" s="5"/>
      <c r="B43" s="23"/>
      <c r="C43" s="25"/>
      <c r="D43" s="5"/>
      <c r="E43" s="5"/>
      <c r="F43" s="5"/>
      <c r="G43" s="25"/>
      <c r="H43" s="5"/>
      <c r="I43" s="5"/>
      <c r="J43" s="5"/>
    </row>
    <row r="44" spans="1:11" x14ac:dyDescent="0.25">
      <c r="A44" s="5"/>
      <c r="B44" s="23"/>
      <c r="C44" s="25"/>
      <c r="D44" s="5"/>
      <c r="E44" s="5"/>
      <c r="F44" s="5"/>
      <c r="G44" s="25"/>
      <c r="H44" s="5"/>
      <c r="I44" s="5"/>
      <c r="J44" s="5"/>
    </row>
    <row r="45" spans="1:11" x14ac:dyDescent="0.25">
      <c r="A45" s="5"/>
      <c r="B45" s="26"/>
      <c r="C45" s="27"/>
      <c r="D45" s="26"/>
      <c r="E45" s="28"/>
      <c r="F45" s="28"/>
      <c r="G45" s="27"/>
      <c r="H45" s="5"/>
      <c r="I45" s="5"/>
      <c r="J45" s="5"/>
    </row>
  </sheetData>
  <hyperlinks>
    <hyperlink ref="G4" r:id="rId1" xr:uid="{EF0CD7D2-0F42-4B06-B855-96768B5E9CC5}"/>
  </hyperlinks>
  <pageMargins left="0.25" right="0.25" top="0.75" bottom="0.75" header="0.3" footer="0.3"/>
  <pageSetup paperSize="9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pbaizan</cp:lastModifiedBy>
  <cp:lastPrinted>2021-10-04T15:33:04Z</cp:lastPrinted>
  <dcterms:created xsi:type="dcterms:W3CDTF">2013-12-31T18:23:59Z</dcterms:created>
  <dcterms:modified xsi:type="dcterms:W3CDTF">2021-10-04T15:33:08Z</dcterms:modified>
</cp:coreProperties>
</file>