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ublic\Documents\Altium\VCTB\Project Outputs for VCTB\"/>
    </mc:Choice>
  </mc:AlternateContent>
  <xr:revisionPtr revIDLastSave="0" documentId="13_ncr:1_{EAD115A3-D2ED-4575-A214-BABEB79B6F38}" xr6:coauthVersionLast="47" xr6:coauthVersionMax="47" xr10:uidLastSave="{00000000-0000-0000-0000-000000000000}"/>
  <bookViews>
    <workbookView xWindow="1740" yWindow="1950" windowWidth="27060" windowHeight="1378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53" i="1" l="1"/>
</calcChain>
</file>

<file path=xl/sharedStrings.xml><?xml version="1.0" encoding="utf-8"?>
<sst xmlns="http://schemas.openxmlformats.org/spreadsheetml/2006/main" count="232" uniqueCount="200">
  <si>
    <t>Bill of Materials</t>
  </si>
  <si>
    <t>Project Title:</t>
  </si>
  <si>
    <t>Approved</t>
  </si>
  <si>
    <t>Notes</t>
  </si>
  <si>
    <t>Part Number</t>
  </si>
  <si>
    <t>Description</t>
  </si>
  <si>
    <t>Designator</t>
  </si>
  <si>
    <t>Quantity</t>
  </si>
  <si>
    <t>Manufacturer</t>
  </si>
  <si>
    <t>Manufacturer P/N</t>
  </si>
  <si>
    <t>www.ionosens.com</t>
  </si>
  <si>
    <t>Board Name:</t>
  </si>
  <si>
    <t xml:space="preserve">Board P/N: </t>
  </si>
  <si>
    <t>&lt;Parameter PROJECT not found&gt;</t>
  </si>
  <si>
    <t/>
  </si>
  <si>
    <t>DesignItemId</t>
  </si>
  <si>
    <t>C01-0402-01-00001-1</t>
  </si>
  <si>
    <t>C01-0402-01-00007-1</t>
  </si>
  <si>
    <t>C01-0402-01-00008-1</t>
  </si>
  <si>
    <t>D01-0402-01-00000-1</t>
  </si>
  <si>
    <t>D01-0402-01-00001-1</t>
  </si>
  <si>
    <t>J01-001-01-00001-2</t>
  </si>
  <si>
    <t>J01-001-01-00003-2</t>
  </si>
  <si>
    <t>J01-001-01-00005-2</t>
  </si>
  <si>
    <t>K01-0008-01-00008-1</t>
  </si>
  <si>
    <t>K01-0008-01-00002-6</t>
  </si>
  <si>
    <t>CMP-00028-00007-2</t>
  </si>
  <si>
    <t>CMP-013-00036-1</t>
  </si>
  <si>
    <t>R01-0402-01-00105-2</t>
  </si>
  <si>
    <t>R01-0402-01-00169-2</t>
  </si>
  <si>
    <t>R01-0402-01-00029-2</t>
  </si>
  <si>
    <t>R01-0402-01-00067-3</t>
  </si>
  <si>
    <t>R01-0402-01-00360-2</t>
  </si>
  <si>
    <t>R01-0402-01-00337-2</t>
  </si>
  <si>
    <t>R01-0402-01-00237-2</t>
  </si>
  <si>
    <t>R01-0402-01-00437-2</t>
  </si>
  <si>
    <t>R01-0402-01-00475-2</t>
  </si>
  <si>
    <t>R01-0402-01-00404-2</t>
  </si>
  <si>
    <t>R01-0402-01-00008-7</t>
  </si>
  <si>
    <t>R01-0402-01-00492-2</t>
  </si>
  <si>
    <t>R01-0402-01-00517-2</t>
  </si>
  <si>
    <t>R01-0402-01-00133-2</t>
  </si>
  <si>
    <t>R01-0402-01-00345-2</t>
  </si>
  <si>
    <t>R01-0402-01-00394-2</t>
  </si>
  <si>
    <t>R01-0402-01-00027-2</t>
  </si>
  <si>
    <t>R01-0603-01-00000-4</t>
  </si>
  <si>
    <t>CMP-0005-0001-00001-1</t>
  </si>
  <si>
    <t>CMP-0015-00000-5</t>
  </si>
  <si>
    <t>U01-0007-01-00000-1</t>
  </si>
  <si>
    <t>CMP-0005-0002-00000-2</t>
  </si>
  <si>
    <t>CMP-019-00050-1</t>
  </si>
  <si>
    <t>CMP-019-00049-1</t>
  </si>
  <si>
    <t>CMP-0005-0002-00001-2</t>
  </si>
  <si>
    <t>CMP-0005-0001-00000-1</t>
  </si>
  <si>
    <t>CMP-014-00003-2</t>
  </si>
  <si>
    <t>CMP-014-00004-1</t>
  </si>
  <si>
    <t>CMP-014-00002-1</t>
  </si>
  <si>
    <t>Y01-0001-01-00000-11</t>
  </si>
  <si>
    <t>Cap Ceramic 100nF 50V X7R 5% SMD 0402 125°C</t>
  </si>
  <si>
    <t>Cap Ceramic 2.2uF 25V X7R +-10% SMD 0805 125°C</t>
  </si>
  <si>
    <t>Cap Ceramic 20pF 50V C0G 5% SMD 0402 125°C</t>
  </si>
  <si>
    <t>Led green 0402</t>
  </si>
  <si>
    <t>Led red 0402</t>
  </si>
  <si>
    <t>Conn Socket and Terminal Strip HDR/SKT 100 POS 0.5mm Solder ST SMD T/R</t>
  </si>
  <si>
    <t>6 Vias Pin Header 2.54mm, Right Angle</t>
  </si>
  <si>
    <t>6 Vias Pin Header 2.54mm, Right Angle, 1 Row</t>
  </si>
  <si>
    <t>Reed Relay, Mini SIP, 5 VDC; 1 Form A, 15W, 200 VDC, 1.25A</t>
  </si>
  <si>
    <t>Reed Relay 5VDC 350Ohm 0.5A SPST-NO THT</t>
  </si>
  <si>
    <t>hole 5mm pad drill 2.2</t>
  </si>
  <si>
    <t>MMBFJ202 Series 40 V 4.5 mA N-Channel General Purpose Amplifier - SOT-23</t>
  </si>
  <si>
    <t>RES SMD 4.7K OHM 1% 1/16W 0402</t>
  </si>
  <si>
    <t>RES SMD 10K OHM 1% 1/16W 0402</t>
  </si>
  <si>
    <t>RES SMD 1K OHM 1% 1/16W 0402</t>
  </si>
  <si>
    <t>RES SMD 2K OHM 1% 1/16W 0402</t>
  </si>
  <si>
    <t>RES SMD 100K OHM 1% 1/16W 0402</t>
  </si>
  <si>
    <t>RES SMD 75K OHM 1% 1/16W 0402</t>
  </si>
  <si>
    <t>RES SMD 25.5K OHM 1% 1/16W 0402</t>
  </si>
  <si>
    <t>RES SMD 240 OHM 1% 1/16W 0402</t>
  </si>
  <si>
    <t>RES SMD 348K OHM 1% 1/16W 0402</t>
  </si>
  <si>
    <t>RES SMD 165 OHM 1% 1/16W 0402</t>
  </si>
  <si>
    <t>RES SMD 1.5K OHM 1% 1/16W 0402</t>
  </si>
  <si>
    <t>RES SMD 412 OHM 1% 1/16W 0402</t>
  </si>
  <si>
    <t>RES SMD 536K OHM 1% 1/16W 0402</t>
  </si>
  <si>
    <t>RES SMD 6.2K OHM 1% 1/16W 0402</t>
  </si>
  <si>
    <t>RES SMD 82K OHM 1% 1/16W 0402</t>
  </si>
  <si>
    <t>RES SMD 150 OHM 1% 1/16W 0402</t>
  </si>
  <si>
    <t>RES SMD 1.91K OHM 1% 1/16W 0402</t>
  </si>
  <si>
    <t>RES SMD 0 OHM 1% 1/10W 0603</t>
  </si>
  <si>
    <t>50-V, 7-ch darlington transistor array, -40 to 105C 16-TSSOP -40 to 105</t>
  </si>
  <si>
    <t>4-Channel Single ADC Delta-Sigma 860sps 16-bit Serial Automotive 10-Pin VSSOP</t>
  </si>
  <si>
    <t>AVR ATmega Microcontroller 8-bit 16MHz 256KB FLASH TQFP100</t>
  </si>
  <si>
    <t>Digital Potentiometer 5kOhm 256POS Volatile Linear Automotive 10-Pin MSOP</t>
  </si>
  <si>
    <t>V-Ref Precision 3.3V 20mA 8-Pin SOIC</t>
  </si>
  <si>
    <t>V-Ref Precision 1.024V 20mA 8-Pin SOIC</t>
  </si>
  <si>
    <t>Digital Potentiometer 50kOhm 256POS Volatile Linear Automotive 10-Pin MSOP</t>
  </si>
  <si>
    <t>SRDA Series 15 V 8 pF SMT RailClamp® Low Capacitance TVS Diode Array - SOIC-8</t>
  </si>
  <si>
    <t>Amp INSTR Amp Single ±18V 8-Pin MSOP</t>
  </si>
  <si>
    <t>Single JFET-input improved offset operational amplifier 8-SOIC 0 to 70</t>
  </si>
  <si>
    <t>Op Amp Dual GP R-R I/O 6V Automotive 8-Pin SOIC</t>
  </si>
  <si>
    <t>16MHz ±10ppm 16pF 80Ω SMD-2520_4P</t>
  </si>
  <si>
    <t>C1, C2, C3, C4, C5, C6, C7, C8, C9, C10, C12, C13</t>
  </si>
  <si>
    <t>C11, C14</t>
  </si>
  <si>
    <t>C15, C16</t>
  </si>
  <si>
    <t>D1, D2, D3, D4, D5, D6, D7</t>
  </si>
  <si>
    <t>D8, D9, D10</t>
  </si>
  <si>
    <t>J1, J2, J3</t>
  </si>
  <si>
    <t>J4</t>
  </si>
  <si>
    <t>J5</t>
  </si>
  <si>
    <t>K1, K2, K4, K5, K7</t>
  </si>
  <si>
    <t>K3, K6</t>
  </si>
  <si>
    <t>MH2, MH6, MH7, MH8</t>
  </si>
  <si>
    <t>Q1, Q2</t>
  </si>
  <si>
    <t>R1, R2, R3, R4</t>
  </si>
  <si>
    <t>R5</t>
  </si>
  <si>
    <t>R6, R7</t>
  </si>
  <si>
    <t>R8, R9, R10, R11, R36</t>
  </si>
  <si>
    <t>R12, R15, R16</t>
  </si>
  <si>
    <t>R13</t>
  </si>
  <si>
    <t>R14</t>
  </si>
  <si>
    <t>R17, R18, R19, R20, R21, R22, R23, R42, R43, R44</t>
  </si>
  <si>
    <t>R24, R25, R27, R30, R31, R33, R35, R38</t>
  </si>
  <si>
    <t>R26</t>
  </si>
  <si>
    <t>R28</t>
  </si>
  <si>
    <t>R29</t>
  </si>
  <si>
    <t>R32</t>
  </si>
  <si>
    <t>R34</t>
  </si>
  <si>
    <t>R37</t>
  </si>
  <si>
    <t>R39</t>
  </si>
  <si>
    <t>R40</t>
  </si>
  <si>
    <t>R41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</si>
  <si>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</si>
  <si>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</si>
  <si>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</si>
  <si>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</si>
  <si>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</si>
  <si>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</si>
  <si>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</si>
  <si>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</si>
  <si>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</si>
  <si>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</si>
  <si>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U11, U12</t>
  </si>
  <si>
    <t>Y1</t>
  </si>
  <si>
    <t>#Column Name Error:' Manufacturer 1</t>
  </si>
  <si>
    <t>#Column Name Error:' Manufacturer Part Number 1</t>
  </si>
  <si>
    <t>YAGEO</t>
  </si>
  <si>
    <t>ROHM</t>
  </si>
  <si>
    <t>Samtec</t>
  </si>
  <si>
    <t>Comus</t>
  </si>
  <si>
    <t>COTO</t>
  </si>
  <si>
    <t>Ionosens</t>
  </si>
  <si>
    <t>Semi on</t>
  </si>
  <si>
    <t>Yageo</t>
  </si>
  <si>
    <t>Texas Instruments</t>
  </si>
  <si>
    <t>Texas Instrument</t>
  </si>
  <si>
    <t>Microchip</t>
  </si>
  <si>
    <t>Semtech</t>
  </si>
  <si>
    <t>Analog</t>
  </si>
  <si>
    <t>SEIKO-EPSON</t>
  </si>
  <si>
    <t>CC0402JRX7R7BB104</t>
  </si>
  <si>
    <t>AC0805KKX7R8BB225</t>
  </si>
  <si>
    <t>CC0402JRNPO9BN200</t>
  </si>
  <si>
    <t>SML-P13PTT86R</t>
  </si>
  <si>
    <t>SML-P12UTT86R</t>
  </si>
  <si>
    <t>LSHM-150-06.0-L-DV-A-N-K-TR</t>
  </si>
  <si>
    <t>TSW-103-08-F-D-RA</t>
  </si>
  <si>
    <t>HTSW-106-08-F-S-RA</t>
  </si>
  <si>
    <t>3570.1419.051</t>
  </si>
  <si>
    <t>9002-05-00</t>
  </si>
  <si>
    <t>H5D22</t>
  </si>
  <si>
    <t>MMBFJ202</t>
  </si>
  <si>
    <t>AC0402FR-074K7L</t>
  </si>
  <si>
    <t>AC0402FR-0710KL</t>
  </si>
  <si>
    <t>AC0402FR-071KL</t>
  </si>
  <si>
    <t>AC0402FR-072KL</t>
  </si>
  <si>
    <t>AC0402FR-07100KL</t>
  </si>
  <si>
    <t>AC0402FR-0775KL</t>
  </si>
  <si>
    <t>AC0402FR-0725K5L</t>
  </si>
  <si>
    <t>AC0402FR-07240RL</t>
  </si>
  <si>
    <t>AC0402FR-07348KL</t>
  </si>
  <si>
    <t>AC0402FR-07165RL</t>
  </si>
  <si>
    <t>AC0402FR-071K5L</t>
  </si>
  <si>
    <t>AC0402FR-07412RL</t>
  </si>
  <si>
    <t>AC0402FR-07536KL</t>
  </si>
  <si>
    <t>AC0402FR-076K2L</t>
  </si>
  <si>
    <t>AC0402FR-0782KL</t>
  </si>
  <si>
    <t>AC0402FR-07150RL</t>
  </si>
  <si>
    <t>AC0402FR-071K91L</t>
  </si>
  <si>
    <t>AC0603FR-070RL</t>
  </si>
  <si>
    <t>ULN2003AIPWR</t>
  </si>
  <si>
    <t>ADS1115BQDGSRQ1</t>
  </si>
  <si>
    <t>ATMEGA2560-16AU</t>
  </si>
  <si>
    <t>MCP4252-502E/UN</t>
  </si>
  <si>
    <t>MCP1501-33E/SN</t>
  </si>
  <si>
    <t>MCP1501-10E/SN</t>
  </si>
  <si>
    <t>MCP4252-503E/UN</t>
  </si>
  <si>
    <t>SRDA3.3-6.TBT</t>
  </si>
  <si>
    <t>AD8221ARMZ-RL</t>
  </si>
  <si>
    <t>TL081ACD</t>
  </si>
  <si>
    <t>MCP6402T-H/SN</t>
  </si>
  <si>
    <t>Q24FA20H0024700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</si>
</sst>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name val="Arial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6337778862885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2">
    <xf numFmtId="0" fontId="0" fillId="0" borderId="0" xfId="0"/>
    <xf numFmtId="0" fontId="0" fillId="0" borderId="1" xfId="0" applyBorder="1"/>
    <xf numFmtId="0" fontId="0" fillId="2" borderId="2" xfId="0" applyFill="1" applyBorder="1"/>
    <xf numFmtId="0" fontId="0" fillId="0" borderId="0" xfId="0" applyFill="1"/>
    <xf numFmtId="0" fontId="0" fillId="0" borderId="0" xfId="0" applyFill="1" applyBorder="1"/>
    <xf numFmtId="0" fontId="0" fillId="0" borderId="0" xfId="0" applyBorder="1"/>
    <xf numFmtId="0" fontId="4" fillId="2" borderId="2" xfId="0" applyFont="1" applyFill="1" applyBorder="1"/>
    <xf numFmtId="0" fontId="0" fillId="0" borderId="2" xfId="0" applyBorder="1" applyAlignment="1">
      <alignment wrapText="1"/>
    </xf>
    <xf numFmtId="0" fontId="3" fillId="0" borderId="0" xfId="0" applyFont="1" applyFill="1" applyBorder="1" applyAlignment="1">
      <alignment horizontal="right"/>
    </xf>
    <xf numFmtId="0" fontId="3" fillId="0" borderId="0" xfId="0" applyFont="1" applyBorder="1" applyAlignment="1">
      <alignment horizontal="right"/>
    </xf>
    <xf numFmtId="0" fontId="0" fillId="2" borderId="2" xfId="0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2" fillId="0" borderId="0" xfId="1" applyFont="1" applyFill="1" applyBorder="1" applyAlignment="1">
      <alignment vertical="center"/>
    </xf>
    <xf numFmtId="0" fontId="4" fillId="0" borderId="0" xfId="0" applyFont="1" applyBorder="1"/>
    <xf numFmtId="0" fontId="3" fillId="0" borderId="0" xfId="0" applyFont="1" applyFill="1" applyBorder="1"/>
    <xf numFmtId="0" fontId="5" fillId="0" borderId="0" xfId="2" applyBorder="1"/>
    <xf numFmtId="0" fontId="0" fillId="0" borderId="2" xfId="0" applyBorder="1"/>
    <xf numFmtId="0" fontId="4" fillId="0" borderId="2" xfId="0" applyFont="1" applyBorder="1"/>
    <xf numFmtId="0" fontId="0" fillId="0" borderId="4" xfId="0" applyBorder="1"/>
    <xf numFmtId="0" fontId="4" fillId="0" borderId="1" xfId="0" applyFont="1" applyBorder="1"/>
    <xf numFmtId="0" fontId="4" fillId="0" borderId="5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6" xfId="0" applyBorder="1"/>
    <xf numFmtId="0" fontId="0" fillId="0" borderId="3" xfId="0" applyBorder="1"/>
    <xf numFmtId="0" fontId="3" fillId="0" borderId="0" xfId="0" quotePrefix="1" applyFont="1" applyFill="1" applyBorder="1"/>
    <xf numFmtId="0" fontId="3" fillId="0" borderId="0" xfId="0" quotePrefix="1" applyFont="1" applyBorder="1"/>
    <xf numFmtId="0" fontId="0" fillId="0" borderId="2" xfId="0" quotePrefix="1" applyBorder="1" applyAlignment="1">
      <alignment vertical="center" wrapText="1"/>
    </xf>
  </cellXfs>
  <cellStyles count="3">
    <cellStyle name="Hipervínculo" xfId="2" builtinId="8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1079499</xdr:colOff>
      <xdr:row>1</xdr:row>
      <xdr:rowOff>127001</xdr:rowOff>
    </xdr:from>
    <xdr:to>
      <xdr:col>6</xdr:col>
      <xdr:colOff>1173691</xdr:colOff>
      <xdr:row>3</xdr:row>
      <xdr:rowOff>46802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C8AB94C-6902-44AC-A7DA-2D35BE342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27332" y="328084"/>
          <a:ext cx="1660525" cy="491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ionosen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60"/>
  <sheetViews>
    <sheetView showGridLines="0" tabSelected="1" zoomScale="90" zoomScaleNormal="90" workbookViewId="0">
      <selection activeCell="F11" sqref="F11:F52"/>
    </sheetView>
  </sheetViews>
  <sheetFormatPr baseColWidth="10" defaultColWidth="9.140625" defaultRowHeight="15" x14ac:dyDescent="0.25"/>
  <cols>
    <col min="1" max="1" width="10.5703125" customWidth="1"/>
    <col min="2" max="2" width="20.140625" customWidth="1"/>
    <col min="3" max="3" width="25" customWidth="1"/>
    <col min="4" max="4" width="22.28515625" customWidth="1"/>
    <col min="5" max="5" width="17.5703125" customWidth="1"/>
    <col min="6" max="6" width="23.42578125" customWidth="1"/>
    <col min="7" max="7" width="18.28515625" customWidth="1"/>
    <col min="8" max="8" width="21" customWidth="1"/>
    <col min="9" max="9" width="16.85546875" customWidth="1"/>
    <col min="10" max="10" width="8.7109375" customWidth="1"/>
    <col min="11" max="11" width="4.28515625" customWidth="1"/>
  </cols>
  <sheetData>
    <row r="1" spans="1:11" x14ac:dyDescent="0.25">
      <c r="B1" s="5"/>
      <c r="C1" s="4"/>
      <c r="D1" s="4"/>
      <c r="E1" s="4"/>
      <c r="F1" s="4"/>
      <c r="G1" s="4"/>
      <c r="H1" s="3"/>
      <c r="I1" s="3"/>
      <c r="J1" s="3"/>
      <c r="K1" s="3"/>
    </row>
    <row r="2" spans="1:11" ht="30" x14ac:dyDescent="0.25">
      <c r="A2" s="5"/>
      <c r="B2" s="12" t="s">
        <v>0</v>
      </c>
      <c r="C2" s="5"/>
      <c r="D2" s="4"/>
      <c r="E2" s="4"/>
      <c r="F2" s="4"/>
      <c r="G2" s="4"/>
      <c r="H2" s="4"/>
      <c r="I2" s="4"/>
      <c r="J2" s="4"/>
      <c r="K2" s="4"/>
    </row>
    <row r="3" spans="1:11" x14ac:dyDescent="0.25">
      <c r="A3" s="5"/>
      <c r="B3" s="5"/>
      <c r="C3" s="4"/>
      <c r="D3" s="4"/>
      <c r="E3" s="4"/>
      <c r="F3" s="4"/>
      <c r="G3" s="4"/>
      <c r="H3" s="4"/>
      <c r="I3" s="4"/>
      <c r="J3" s="4"/>
      <c r="K3" s="4"/>
    </row>
    <row r="4" spans="1:11" x14ac:dyDescent="0.25">
      <c r="A4" s="5"/>
      <c r="B4" s="8" t="s">
        <v>1</v>
      </c>
      <c r="C4" s="14" t="s">
        <v>13</v>
      </c>
      <c r="D4" s="4"/>
      <c r="E4" s="5"/>
      <c r="F4" s="4"/>
      <c r="G4" s="15" t="s">
        <v>10</v>
      </c>
      <c r="H4" s="4"/>
      <c r="J4" s="4"/>
      <c r="K4" s="4"/>
    </row>
    <row r="5" spans="1:11" x14ac:dyDescent="0.25">
      <c r="A5" s="5"/>
      <c r="B5" s="8" t="s">
        <v>11</v>
      </c>
      <c r="C5" s="29" t="s">
        <v>14</v>
      </c>
      <c r="D5" s="4"/>
      <c r="E5" s="5"/>
      <c r="F5" s="4"/>
      <c r="G5" s="4"/>
      <c r="H5" s="4"/>
      <c r="J5" s="5"/>
      <c r="K5" s="4"/>
    </row>
    <row r="6" spans="1:11" x14ac:dyDescent="0.25">
      <c r="A6" s="5"/>
      <c r="B6" s="9" t="s">
        <v>12</v>
      </c>
      <c r="C6" s="30" t="s">
        <v>14</v>
      </c>
      <c r="D6" s="5"/>
      <c r="E6" s="5"/>
      <c r="F6" s="5"/>
      <c r="G6" s="4"/>
      <c r="H6" s="4"/>
      <c r="J6" s="4"/>
      <c r="K6" s="4"/>
    </row>
    <row r="7" spans="1:11" x14ac:dyDescent="0.25">
      <c r="A7" s="5"/>
      <c r="B7" s="5"/>
      <c r="C7" s="5"/>
      <c r="D7" s="5"/>
      <c r="E7" s="5"/>
      <c r="F7" s="5"/>
      <c r="G7" s="4"/>
      <c r="H7" s="5"/>
      <c r="I7" s="5"/>
      <c r="J7" s="5"/>
      <c r="K7" s="5"/>
    </row>
    <row r="8" spans="1:1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x14ac:dyDescent="0.25">
      <c r="A9" s="5"/>
      <c r="B9" s="10" t="s">
        <v>4</v>
      </c>
      <c r="C9" s="10" t="s">
        <v>5</v>
      </c>
      <c r="D9" s="10" t="s">
        <v>6</v>
      </c>
      <c r="E9" s="11" t="s">
        <v>8</v>
      </c>
      <c r="F9" s="11" t="s">
        <v>9</v>
      </c>
      <c r="G9" s="11" t="s">
        <v>7</v>
      </c>
      <c r="H9" s="5"/>
      <c r="J9" s="5"/>
    </row>
    <row r="10" spans="1:11" hidden="1" x14ac:dyDescent="0.25">
      <c r="B10" s="2" t="s">
        <v>15</v>
      </c>
      <c r="C10" s="2" t="s">
        <v>5</v>
      </c>
      <c r="D10" s="2" t="s">
        <v>6</v>
      </c>
      <c r="E10" s="6" t="s">
        <v>142</v>
      </c>
      <c r="F10" s="6" t="s">
        <v>143</v>
      </c>
      <c r="G10" s="6" t="s">
        <v>7</v>
      </c>
      <c r="H10" s="5"/>
    </row>
    <row r="11" spans="1:11" ht="30" x14ac:dyDescent="0.25">
      <c r="A11" s="5"/>
      <c r="B11" s="16" t="s">
        <v>16</v>
      </c>
      <c r="C11" s="7" t="s">
        <v>58</v>
      </c>
      <c r="D11" s="7" t="s">
        <v>100</v>
      </c>
      <c r="E11" s="31" t="s">
        <v>144</v>
      </c>
      <c r="F11" s="31" t="s">
        <v>158</v>
      </c>
      <c r="G11" s="17">
        <v>12</v>
      </c>
      <c r="H11" s="5"/>
    </row>
    <row r="12" spans="1:11" ht="30" x14ac:dyDescent="0.25">
      <c r="A12" s="5"/>
      <c r="B12" s="16" t="s">
        <v>17</v>
      </c>
      <c r="C12" s="7" t="s">
        <v>59</v>
      </c>
      <c r="D12" s="7" t="s">
        <v>101</v>
      </c>
      <c r="E12" s="31" t="s">
        <v>144</v>
      </c>
      <c r="F12" s="31" t="s">
        <v>159</v>
      </c>
      <c r="G12" s="17">
        <v>2</v>
      </c>
      <c r="H12" s="5"/>
    </row>
    <row r="13" spans="1:11" ht="30" x14ac:dyDescent="0.25">
      <c r="A13" s="5"/>
      <c r="B13" s="16" t="s">
        <v>18</v>
      </c>
      <c r="C13" s="7" t="s">
        <v>60</v>
      </c>
      <c r="D13" s="7" t="s">
        <v>102</v>
      </c>
      <c r="E13" s="31" t="s">
        <v>144</v>
      </c>
      <c r="F13" s="31" t="s">
        <v>160</v>
      </c>
      <c r="G13" s="17">
        <v>2</v>
      </c>
      <c r="H13" s="5"/>
    </row>
    <row r="14" spans="1:11" ht="30" x14ac:dyDescent="0.25">
      <c r="A14" s="5"/>
      <c r="B14" s="16" t="s">
        <v>19</v>
      </c>
      <c r="C14" s="7" t="s">
        <v>61</v>
      </c>
      <c r="D14" s="7" t="s">
        <v>103</v>
      </c>
      <c r="E14" s="31" t="s">
        <v>145</v>
      </c>
      <c r="F14" s="31" t="s">
        <v>161</v>
      </c>
      <c r="G14" s="17">
        <v>7</v>
      </c>
      <c r="H14" s="5"/>
    </row>
    <row r="15" spans="1:11" x14ac:dyDescent="0.25">
      <c r="A15" s="5"/>
      <c r="B15" s="16" t="s">
        <v>20</v>
      </c>
      <c r="C15" s="7" t="s">
        <v>62</v>
      </c>
      <c r="D15" s="7" t="s">
        <v>104</v>
      </c>
      <c r="E15" s="31" t="s">
        <v>145</v>
      </c>
      <c r="F15" s="31" t="s">
        <v>162</v>
      </c>
      <c r="G15" s="17">
        <v>3</v>
      </c>
      <c r="H15" s="5"/>
    </row>
    <row r="16" spans="1:11" ht="45" x14ac:dyDescent="0.25">
      <c r="A16" s="5"/>
      <c r="B16" s="16" t="s">
        <v>21</v>
      </c>
      <c r="C16" s="7" t="s">
        <v>63</v>
      </c>
      <c r="D16" s="7" t="s">
        <v>105</v>
      </c>
      <c r="E16" s="31" t="s">
        <v>146</v>
      </c>
      <c r="F16" s="31" t="s">
        <v>163</v>
      </c>
      <c r="G16" s="17">
        <v>3</v>
      </c>
      <c r="H16" s="5"/>
    </row>
    <row r="17" spans="1:8" ht="30" x14ac:dyDescent="0.25">
      <c r="A17" s="5"/>
      <c r="B17" s="16" t="s">
        <v>22</v>
      </c>
      <c r="C17" s="7" t="s">
        <v>64</v>
      </c>
      <c r="D17" s="7" t="s">
        <v>106</v>
      </c>
      <c r="E17" s="31" t="s">
        <v>146</v>
      </c>
      <c r="F17" s="31" t="s">
        <v>164</v>
      </c>
      <c r="G17" s="17">
        <v>1</v>
      </c>
      <c r="H17" s="5"/>
    </row>
    <row r="18" spans="1:8" ht="30" x14ac:dyDescent="0.25">
      <c r="A18" s="5"/>
      <c r="B18" s="16" t="s">
        <v>23</v>
      </c>
      <c r="C18" s="7" t="s">
        <v>65</v>
      </c>
      <c r="D18" s="7" t="s">
        <v>107</v>
      </c>
      <c r="E18" s="31" t="s">
        <v>146</v>
      </c>
      <c r="F18" s="31" t="s">
        <v>165</v>
      </c>
      <c r="G18" s="17">
        <v>1</v>
      </c>
      <c r="H18" s="5"/>
    </row>
    <row r="19" spans="1:8" ht="45" x14ac:dyDescent="0.25">
      <c r="A19" s="5"/>
      <c r="B19" s="16" t="s">
        <v>24</v>
      </c>
      <c r="C19" s="7" t="s">
        <v>66</v>
      </c>
      <c r="D19" s="7" t="s">
        <v>108</v>
      </c>
      <c r="E19" s="31" t="s">
        <v>147</v>
      </c>
      <c r="F19" s="31" t="s">
        <v>166</v>
      </c>
      <c r="G19" s="17">
        <v>5</v>
      </c>
      <c r="H19" s="5"/>
    </row>
    <row r="20" spans="1:8" ht="30" x14ac:dyDescent="0.25">
      <c r="A20" s="5"/>
      <c r="B20" s="16" t="s">
        <v>25</v>
      </c>
      <c r="C20" s="7" t="s">
        <v>67</v>
      </c>
      <c r="D20" s="7" t="s">
        <v>109</v>
      </c>
      <c r="E20" s="31" t="s">
        <v>148</v>
      </c>
      <c r="F20" s="31" t="s">
        <v>167</v>
      </c>
      <c r="G20" s="17">
        <v>2</v>
      </c>
      <c r="H20" s="5"/>
    </row>
    <row r="21" spans="1:8" x14ac:dyDescent="0.25">
      <c r="A21" s="5"/>
      <c r="B21" s="16" t="s">
        <v>26</v>
      </c>
      <c r="C21" s="7" t="s">
        <v>68</v>
      </c>
      <c r="D21" s="7" t="s">
        <v>110</v>
      </c>
      <c r="E21" s="31" t="s">
        <v>149</v>
      </c>
      <c r="F21" s="31" t="s">
        <v>168</v>
      </c>
      <c r="G21" s="17">
        <v>4</v>
      </c>
      <c r="H21" s="5"/>
    </row>
    <row r="22" spans="1:8" ht="60" x14ac:dyDescent="0.25">
      <c r="A22" s="5"/>
      <c r="B22" s="16" t="s">
        <v>27</v>
      </c>
      <c r="C22" s="7" t="s">
        <v>69</v>
      </c>
      <c r="D22" s="7" t="s">
        <v>111</v>
      </c>
      <c r="E22" s="31" t="s">
        <v>150</v>
      </c>
      <c r="F22" s="31" t="s">
        <v>169</v>
      </c>
      <c r="G22" s="17">
        <v>2</v>
      </c>
      <c r="H22" s="5"/>
    </row>
    <row r="23" spans="1:8" ht="30" x14ac:dyDescent="0.25">
      <c r="A23" s="5"/>
      <c r="B23" s="16" t="s">
        <v>28</v>
      </c>
      <c r="C23" s="7" t="s">
        <v>70</v>
      </c>
      <c r="D23" s="7" t="s">
        <v>112</v>
      </c>
      <c r="E23" s="31" t="s">
        <v>151</v>
      </c>
      <c r="F23" s="31" t="s">
        <v>170</v>
      </c>
      <c r="G23" s="17">
        <v>4</v>
      </c>
      <c r="H23" s="5"/>
    </row>
    <row r="24" spans="1:8" ht="30" x14ac:dyDescent="0.25">
      <c r="A24" s="5"/>
      <c r="B24" s="16" t="s">
        <v>29</v>
      </c>
      <c r="C24" s="7" t="s">
        <v>71</v>
      </c>
      <c r="D24" s="7" t="s">
        <v>113</v>
      </c>
      <c r="E24" s="31" t="s">
        <v>151</v>
      </c>
      <c r="F24" s="31" t="s">
        <v>171</v>
      </c>
      <c r="G24" s="17">
        <v>1</v>
      </c>
      <c r="H24" s="5"/>
    </row>
    <row r="25" spans="1:8" ht="30" x14ac:dyDescent="0.25">
      <c r="A25" s="5"/>
      <c r="B25" s="16" t="s">
        <v>30</v>
      </c>
      <c r="C25" s="7" t="s">
        <v>72</v>
      </c>
      <c r="D25" s="7" t="s">
        <v>114</v>
      </c>
      <c r="E25" s="31" t="s">
        <v>151</v>
      </c>
      <c r="F25" s="31" t="s">
        <v>172</v>
      </c>
      <c r="G25" s="17">
        <v>2</v>
      </c>
      <c r="H25" s="5"/>
    </row>
    <row r="26" spans="1:8" ht="30" x14ac:dyDescent="0.25">
      <c r="A26" s="5"/>
      <c r="B26" s="16" t="s">
        <v>31</v>
      </c>
      <c r="C26" s="7" t="s">
        <v>73</v>
      </c>
      <c r="D26" s="7" t="s">
        <v>115</v>
      </c>
      <c r="E26" s="31" t="s">
        <v>151</v>
      </c>
      <c r="F26" s="31" t="s">
        <v>173</v>
      </c>
      <c r="G26" s="17">
        <v>5</v>
      </c>
      <c r="H26" s="5"/>
    </row>
    <row r="27" spans="1:8" ht="30" x14ac:dyDescent="0.25">
      <c r="A27" s="5"/>
      <c r="B27" s="16" t="s">
        <v>32</v>
      </c>
      <c r="C27" s="7" t="s">
        <v>74</v>
      </c>
      <c r="D27" s="7" t="s">
        <v>116</v>
      </c>
      <c r="E27" s="31" t="s">
        <v>151</v>
      </c>
      <c r="F27" s="31" t="s">
        <v>174</v>
      </c>
      <c r="G27" s="17">
        <v>3</v>
      </c>
      <c r="H27" s="5"/>
    </row>
    <row r="28" spans="1:8" ht="30" x14ac:dyDescent="0.25">
      <c r="A28" s="5"/>
      <c r="B28" s="16" t="s">
        <v>33</v>
      </c>
      <c r="C28" s="7" t="s">
        <v>75</v>
      </c>
      <c r="D28" s="7" t="s">
        <v>117</v>
      </c>
      <c r="E28" s="31" t="s">
        <v>151</v>
      </c>
      <c r="F28" s="31" t="s">
        <v>175</v>
      </c>
      <c r="G28" s="17">
        <v>1</v>
      </c>
      <c r="H28" s="5"/>
    </row>
    <row r="29" spans="1:8" ht="30" x14ac:dyDescent="0.25">
      <c r="A29" s="5"/>
      <c r="B29" s="16" t="s">
        <v>34</v>
      </c>
      <c r="C29" s="7" t="s">
        <v>76</v>
      </c>
      <c r="D29" s="7" t="s">
        <v>118</v>
      </c>
      <c r="E29" s="31" t="s">
        <v>151</v>
      </c>
      <c r="F29" s="31" t="s">
        <v>176</v>
      </c>
      <c r="G29" s="17">
        <v>1</v>
      </c>
      <c r="H29" s="5"/>
    </row>
    <row r="30" spans="1:8" ht="30" x14ac:dyDescent="0.25">
      <c r="A30" s="5"/>
      <c r="B30" s="16" t="s">
        <v>35</v>
      </c>
      <c r="C30" s="7" t="s">
        <v>77</v>
      </c>
      <c r="D30" s="7" t="s">
        <v>119</v>
      </c>
      <c r="E30" s="31" t="s">
        <v>151</v>
      </c>
      <c r="F30" s="31" t="s">
        <v>177</v>
      </c>
      <c r="G30" s="17">
        <v>10</v>
      </c>
      <c r="H30" s="5"/>
    </row>
    <row r="31" spans="1:8" ht="30" x14ac:dyDescent="0.25">
      <c r="A31" s="5"/>
      <c r="B31" s="16" t="s">
        <v>36</v>
      </c>
      <c r="C31" s="7" t="s">
        <v>78</v>
      </c>
      <c r="D31" s="7" t="s">
        <v>120</v>
      </c>
      <c r="E31" s="31" t="s">
        <v>151</v>
      </c>
      <c r="F31" s="31" t="s">
        <v>178</v>
      </c>
      <c r="G31" s="17">
        <v>8</v>
      </c>
      <c r="H31" s="5"/>
    </row>
    <row r="32" spans="1:8" ht="30" x14ac:dyDescent="0.25">
      <c r="A32" s="5"/>
      <c r="B32" s="16" t="s">
        <v>37</v>
      </c>
      <c r="C32" s="7" t="s">
        <v>79</v>
      </c>
      <c r="D32" s="7" t="s">
        <v>121</v>
      </c>
      <c r="E32" s="31" t="s">
        <v>151</v>
      </c>
      <c r="F32" s="31" t="s">
        <v>179</v>
      </c>
      <c r="G32" s="17">
        <v>1</v>
      </c>
      <c r="H32" s="5"/>
    </row>
    <row r="33" spans="1:8" ht="30" x14ac:dyDescent="0.25">
      <c r="A33" s="5"/>
      <c r="B33" s="16" t="s">
        <v>38</v>
      </c>
      <c r="C33" s="7" t="s">
        <v>80</v>
      </c>
      <c r="D33" s="7" t="s">
        <v>122</v>
      </c>
      <c r="E33" s="31" t="s">
        <v>151</v>
      </c>
      <c r="F33" s="31" t="s">
        <v>180</v>
      </c>
      <c r="G33" s="17">
        <v>1</v>
      </c>
      <c r="H33" s="5"/>
    </row>
    <row r="34" spans="1:8" ht="30" x14ac:dyDescent="0.25">
      <c r="A34" s="5"/>
      <c r="B34" s="16" t="s">
        <v>39</v>
      </c>
      <c r="C34" s="7" t="s">
        <v>81</v>
      </c>
      <c r="D34" s="7" t="s">
        <v>123</v>
      </c>
      <c r="E34" s="31" t="s">
        <v>151</v>
      </c>
      <c r="F34" s="31" t="s">
        <v>181</v>
      </c>
      <c r="G34" s="17">
        <v>1</v>
      </c>
      <c r="H34" s="5"/>
    </row>
    <row r="35" spans="1:8" ht="30" x14ac:dyDescent="0.25">
      <c r="A35" s="5"/>
      <c r="B35" s="16" t="s">
        <v>40</v>
      </c>
      <c r="C35" s="7" t="s">
        <v>82</v>
      </c>
      <c r="D35" s="7" t="s">
        <v>124</v>
      </c>
      <c r="E35" s="31" t="s">
        <v>151</v>
      </c>
      <c r="F35" s="31" t="s">
        <v>182</v>
      </c>
      <c r="G35" s="17">
        <v>1</v>
      </c>
      <c r="H35" s="5"/>
    </row>
    <row r="36" spans="1:8" ht="30" x14ac:dyDescent="0.25">
      <c r="A36" s="5"/>
      <c r="B36" s="16" t="s">
        <v>41</v>
      </c>
      <c r="C36" s="7" t="s">
        <v>83</v>
      </c>
      <c r="D36" s="7" t="s">
        <v>125</v>
      </c>
      <c r="E36" s="31" t="s">
        <v>151</v>
      </c>
      <c r="F36" s="31" t="s">
        <v>183</v>
      </c>
      <c r="G36" s="17">
        <v>1</v>
      </c>
      <c r="H36" s="5"/>
    </row>
    <row r="37" spans="1:8" ht="30" x14ac:dyDescent="0.25">
      <c r="A37" s="5"/>
      <c r="B37" s="16" t="s">
        <v>42</v>
      </c>
      <c r="C37" s="7" t="s">
        <v>84</v>
      </c>
      <c r="D37" s="7" t="s">
        <v>126</v>
      </c>
      <c r="E37" s="31" t="s">
        <v>151</v>
      </c>
      <c r="F37" s="31" t="s">
        <v>184</v>
      </c>
      <c r="G37" s="17">
        <v>1</v>
      </c>
      <c r="H37" s="5"/>
    </row>
    <row r="38" spans="1:8" ht="30" x14ac:dyDescent="0.25">
      <c r="A38" s="5"/>
      <c r="B38" s="16" t="s">
        <v>43</v>
      </c>
      <c r="C38" s="7" t="s">
        <v>85</v>
      </c>
      <c r="D38" s="7" t="s">
        <v>127</v>
      </c>
      <c r="E38" s="31" t="s">
        <v>151</v>
      </c>
      <c r="F38" s="31" t="s">
        <v>185</v>
      </c>
      <c r="G38" s="17">
        <v>1</v>
      </c>
      <c r="H38" s="5"/>
    </row>
    <row r="39" spans="1:8" ht="30" x14ac:dyDescent="0.25">
      <c r="A39" s="5"/>
      <c r="B39" s="16" t="s">
        <v>44</v>
      </c>
      <c r="C39" s="7" t="s">
        <v>86</v>
      </c>
      <c r="D39" s="7" t="s">
        <v>128</v>
      </c>
      <c r="E39" s="31" t="s">
        <v>151</v>
      </c>
      <c r="F39" s="31" t="s">
        <v>186</v>
      </c>
      <c r="G39" s="17">
        <v>1</v>
      </c>
      <c r="H39" s="5"/>
    </row>
    <row r="40" spans="1:8" ht="30" x14ac:dyDescent="0.25">
      <c r="A40" s="5"/>
      <c r="B40" s="16" t="s">
        <v>45</v>
      </c>
      <c r="C40" s="7" t="s">
        <v>87</v>
      </c>
      <c r="D40" s="7" t="s">
        <v>129</v>
      </c>
      <c r="E40" s="31" t="s">
        <v>151</v>
      </c>
      <c r="F40" s="31" t="s">
        <v>187</v>
      </c>
      <c r="G40" s="17">
        <v>1</v>
      </c>
      <c r="H40" s="5"/>
    </row>
    <row r="41" spans="1:8" ht="45" x14ac:dyDescent="0.25">
      <c r="A41" s="5"/>
      <c r="B41" s="16" t="s">
        <v>46</v>
      </c>
      <c r="C41" s="7" t="s">
        <v>88</v>
      </c>
      <c r="D41" s="7" t="s">
        <v>130</v>
      </c>
      <c r="E41" s="31" t="s">
        <v>152</v>
      </c>
      <c r="F41" s="31" t="s">
        <v>188</v>
      </c>
      <c r="G41" s="17">
        <v>1</v>
      </c>
      <c r="H41" s="5"/>
    </row>
    <row r="42" spans="1:8" ht="60" x14ac:dyDescent="0.25">
      <c r="A42" s="5"/>
      <c r="B42" s="16" t="s">
        <v>47</v>
      </c>
      <c r="C42" s="7" t="s">
        <v>89</v>
      </c>
      <c r="D42" s="7" t="s">
        <v>131</v>
      </c>
      <c r="E42" s="31" t="s">
        <v>153</v>
      </c>
      <c r="F42" s="31" t="s">
        <v>189</v>
      </c>
      <c r="G42" s="17">
        <v>1</v>
      </c>
      <c r="H42" s="5"/>
    </row>
    <row r="43" spans="1:8" ht="60" x14ac:dyDescent="0.25">
      <c r="A43" s="5"/>
      <c r="B43" s="16" t="s">
        <v>48</v>
      </c>
      <c r="C43" s="7" t="s">
        <v>90</v>
      </c>
      <c r="D43" s="7" t="s">
        <v>132</v>
      </c>
      <c r="E43" s="31" t="s">
        <v>154</v>
      </c>
      <c r="F43" s="31" t="s">
        <v>190</v>
      </c>
      <c r="G43" s="17">
        <v>1</v>
      </c>
      <c r="H43" s="5"/>
    </row>
    <row r="44" spans="1:8" ht="60" x14ac:dyDescent="0.25">
      <c r="A44" s="5"/>
      <c r="B44" s="16" t="s">
        <v>49</v>
      </c>
      <c r="C44" s="7" t="s">
        <v>91</v>
      </c>
      <c r="D44" s="7" t="s">
        <v>133</v>
      </c>
      <c r="E44" s="31" t="s">
        <v>154</v>
      </c>
      <c r="F44" s="31" t="s">
        <v>191</v>
      </c>
      <c r="G44" s="17">
        <v>1</v>
      </c>
      <c r="H44" s="5"/>
    </row>
    <row r="45" spans="1:8" ht="30" x14ac:dyDescent="0.25">
      <c r="A45" s="5"/>
      <c r="B45" s="16" t="s">
        <v>50</v>
      </c>
      <c r="C45" s="7" t="s">
        <v>92</v>
      </c>
      <c r="D45" s="7" t="s">
        <v>134</v>
      </c>
      <c r="E45" s="31" t="s">
        <v>154</v>
      </c>
      <c r="F45" s="31" t="s">
        <v>192</v>
      </c>
      <c r="G45" s="17">
        <v>1</v>
      </c>
      <c r="H45" s="5"/>
    </row>
    <row r="46" spans="1:8" ht="30" x14ac:dyDescent="0.25">
      <c r="A46" s="5"/>
      <c r="B46" s="16" t="s">
        <v>51</v>
      </c>
      <c r="C46" s="7" t="s">
        <v>93</v>
      </c>
      <c r="D46" s="7" t="s">
        <v>135</v>
      </c>
      <c r="E46" s="31" t="s">
        <v>154</v>
      </c>
      <c r="F46" s="31" t="s">
        <v>193</v>
      </c>
      <c r="G46" s="17">
        <v>1</v>
      </c>
      <c r="H46" s="5"/>
    </row>
    <row r="47" spans="1:8" ht="60" x14ac:dyDescent="0.25">
      <c r="A47" s="5"/>
      <c r="B47" s="16" t="s">
        <v>52</v>
      </c>
      <c r="C47" s="7" t="s">
        <v>94</v>
      </c>
      <c r="D47" s="7" t="s">
        <v>136</v>
      </c>
      <c r="E47" s="31" t="s">
        <v>154</v>
      </c>
      <c r="F47" s="31" t="s">
        <v>194</v>
      </c>
      <c r="G47" s="17">
        <v>1</v>
      </c>
      <c r="H47" s="5"/>
    </row>
    <row r="48" spans="1:8" ht="60" x14ac:dyDescent="0.25">
      <c r="A48" s="5"/>
      <c r="B48" s="16" t="s">
        <v>53</v>
      </c>
      <c r="C48" s="7" t="s">
        <v>95</v>
      </c>
      <c r="D48" s="7" t="s">
        <v>137</v>
      </c>
      <c r="E48" s="31" t="s">
        <v>155</v>
      </c>
      <c r="F48" s="31" t="s">
        <v>195</v>
      </c>
      <c r="G48" s="17">
        <v>1</v>
      </c>
      <c r="H48" s="5"/>
    </row>
    <row r="49" spans="1:11" ht="30" x14ac:dyDescent="0.25">
      <c r="A49" s="5"/>
      <c r="B49" s="16" t="s">
        <v>54</v>
      </c>
      <c r="C49" s="7" t="s">
        <v>96</v>
      </c>
      <c r="D49" s="7" t="s">
        <v>138</v>
      </c>
      <c r="E49" s="31" t="s">
        <v>156</v>
      </c>
      <c r="F49" s="31" t="s">
        <v>196</v>
      </c>
      <c r="G49" s="17">
        <v>1</v>
      </c>
      <c r="H49" s="5"/>
    </row>
    <row r="50" spans="1:11" ht="60" x14ac:dyDescent="0.25">
      <c r="A50" s="5"/>
      <c r="B50" s="16" t="s">
        <v>55</v>
      </c>
      <c r="C50" s="7" t="s">
        <v>97</v>
      </c>
      <c r="D50" s="7" t="s">
        <v>139</v>
      </c>
      <c r="E50" s="31" t="s">
        <v>153</v>
      </c>
      <c r="F50" s="31" t="s">
        <v>197</v>
      </c>
      <c r="G50" s="17">
        <v>1</v>
      </c>
      <c r="H50" s="5"/>
    </row>
    <row r="51" spans="1:11" ht="30" x14ac:dyDescent="0.25">
      <c r="A51" s="5"/>
      <c r="B51" s="16" t="s">
        <v>56</v>
      </c>
      <c r="C51" s="7" t="s">
        <v>98</v>
      </c>
      <c r="D51" s="7" t="s">
        <v>140</v>
      </c>
      <c r="E51" s="31" t="s">
        <v>154</v>
      </c>
      <c r="F51" s="31" t="s">
        <v>198</v>
      </c>
      <c r="G51" s="17">
        <v>2</v>
      </c>
      <c r="H51" s="5"/>
    </row>
    <row r="52" spans="1:11" ht="30" x14ac:dyDescent="0.25">
      <c r="A52" s="5"/>
      <c r="B52" s="16" t="s">
        <v>57</v>
      </c>
      <c r="C52" s="7" t="s">
        <v>99</v>
      </c>
      <c r="D52" s="7" t="s">
        <v>141</v>
      </c>
      <c r="E52" s="31" t="s">
        <v>157</v>
      </c>
      <c r="F52" s="31" t="s">
        <v>199</v>
      </c>
      <c r="G52" s="17">
        <v>1</v>
      </c>
      <c r="H52" s="5"/>
    </row>
    <row r="53" spans="1:11" x14ac:dyDescent="0.25">
      <c r="A53" s="5"/>
      <c r="B53" s="16"/>
      <c r="C53" s="18"/>
      <c r="D53" s="1"/>
      <c r="E53" s="19"/>
      <c r="F53" s="19"/>
      <c r="G53" s="20">
        <f>SUM(G11:G52)</f>
        <v>101</v>
      </c>
      <c r="H53" s="13"/>
      <c r="I53" s="13"/>
      <c r="J53" s="5"/>
    </row>
    <row r="54" spans="1:11" x14ac:dyDescent="0.25">
      <c r="B54" s="5"/>
      <c r="C54" s="5"/>
      <c r="D54" s="5"/>
      <c r="E54" s="5"/>
      <c r="F54" s="5"/>
      <c r="G54" s="5"/>
      <c r="J54" s="5"/>
      <c r="K54" s="5"/>
    </row>
    <row r="55" spans="1:11" x14ac:dyDescent="0.25">
      <c r="A55" s="5"/>
      <c r="B55" s="22" t="s">
        <v>2</v>
      </c>
      <c r="C55" s="24"/>
      <c r="D55" s="21" t="s">
        <v>3</v>
      </c>
      <c r="E55" s="21"/>
      <c r="F55" s="21"/>
      <c r="G55" s="24"/>
      <c r="H55" s="5"/>
      <c r="I55" s="5"/>
      <c r="J55" s="5"/>
    </row>
    <row r="56" spans="1:11" x14ac:dyDescent="0.25">
      <c r="A56" s="5"/>
      <c r="B56" s="23"/>
      <c r="C56" s="25"/>
      <c r="D56" s="5"/>
      <c r="E56" s="5"/>
      <c r="F56" s="5"/>
      <c r="G56" s="25"/>
      <c r="H56" s="5"/>
      <c r="I56" s="5"/>
      <c r="J56" s="5"/>
    </row>
    <row r="57" spans="1:11" x14ac:dyDescent="0.25">
      <c r="A57" s="5"/>
      <c r="B57" s="23"/>
      <c r="C57" s="25"/>
      <c r="D57" s="5"/>
      <c r="E57" s="5"/>
      <c r="F57" s="5"/>
      <c r="G57" s="25"/>
      <c r="H57" s="5"/>
      <c r="I57" s="5"/>
      <c r="J57" s="5"/>
    </row>
    <row r="58" spans="1:11" x14ac:dyDescent="0.25">
      <c r="A58" s="5"/>
      <c r="B58" s="23"/>
      <c r="C58" s="25"/>
      <c r="D58" s="5"/>
      <c r="E58" s="5"/>
      <c r="F58" s="5"/>
      <c r="G58" s="25"/>
      <c r="H58" s="5"/>
      <c r="I58" s="5"/>
      <c r="J58" s="5"/>
    </row>
    <row r="59" spans="1:11" x14ac:dyDescent="0.25">
      <c r="A59" s="5"/>
      <c r="B59" s="23"/>
      <c r="C59" s="25"/>
      <c r="D59" s="5"/>
      <c r="E59" s="5"/>
      <c r="F59" s="5"/>
      <c r="G59" s="25"/>
      <c r="H59" s="5"/>
      <c r="I59" s="5"/>
      <c r="J59" s="5"/>
    </row>
    <row r="60" spans="1:11" x14ac:dyDescent="0.25">
      <c r="A60" s="5"/>
      <c r="B60" s="26"/>
      <c r="C60" s="27"/>
      <c r="D60" s="26"/>
      <c r="E60" s="28"/>
      <c r="F60" s="28"/>
      <c r="G60" s="27"/>
      <c r="H60" s="5"/>
      <c r="I60" s="5"/>
      <c r="J60" s="5"/>
    </row>
  </sheetData>
  <hyperlinks>
    <hyperlink ref="G4" r:id="rId1" xr:uid="{EF0CD7D2-0F42-4B06-B855-96768B5E9CC5}"/>
  </hyperlinks>
  <pageMargins left="0.25" right="0.25" top="0.75" bottom="0.75" header="0.3" footer="0.3"/>
  <pageSetup paperSize="9" fitToHeight="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Carlson</dc:creator>
  <cp:lastModifiedBy>pbaizan</cp:lastModifiedBy>
  <cp:lastPrinted>2021-10-04T15:28:32Z</cp:lastPrinted>
  <dcterms:created xsi:type="dcterms:W3CDTF">2013-12-31T18:23:59Z</dcterms:created>
  <dcterms:modified xsi:type="dcterms:W3CDTF">2021-10-04T15:30:59Z</dcterms:modified>
</cp:coreProperties>
</file>